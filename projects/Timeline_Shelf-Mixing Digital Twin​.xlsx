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amariaartpinkan/Downloads/"/>
    </mc:Choice>
  </mc:AlternateContent>
  <xr:revisionPtr revIDLastSave="0" documentId="13_ncr:1_{167F0EC4-794D-C74F-B8DE-AC2AA601E2AB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Gantt" sheetId="3" r:id="rId1"/>
  </sheets>
  <definedNames>
    <definedName name="_xlnm._FilterDatabase" localSheetId="0" hidden="1">Gantt!$A$5:$AD$18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8" i="3" l="1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Monthly Gantt bars are formula-driven. Edit Start/End dates in this sheet or Timeline_Data and open in Excel to recalculate if needed.</t>
        </r>
      </text>
    </comment>
  </commentList>
</comments>
</file>

<file path=xl/sharedStrings.xml><?xml version="1.0" encoding="utf-8"?>
<sst xmlns="http://schemas.openxmlformats.org/spreadsheetml/2006/main" count="56" uniqueCount="31">
  <si>
    <t>Project</t>
  </si>
  <si>
    <t>Tag</t>
  </si>
  <si>
    <t>Activity</t>
  </si>
  <si>
    <t>Start</t>
  </si>
  <si>
    <t>End</t>
  </si>
  <si>
    <t>[PM]</t>
  </si>
  <si>
    <t>Project Kickoff</t>
  </si>
  <si>
    <t>[FS]</t>
  </si>
  <si>
    <t>State-of-the-Art Review</t>
  </si>
  <si>
    <t>Benchmark Study</t>
  </si>
  <si>
    <t>Proof-of-Concept</t>
  </si>
  <si>
    <t>[ENG]</t>
  </si>
  <si>
    <t>Testing and Validation</t>
  </si>
  <si>
    <t>[POST]</t>
  </si>
  <si>
    <t>TRL Analysis</t>
  </si>
  <si>
    <t>Acceptance Review</t>
  </si>
  <si>
    <t>Mixing Digital Twin</t>
  </si>
  <si>
    <t>Baseline Modeling</t>
  </si>
  <si>
    <t>Parameter Calibration</t>
  </si>
  <si>
    <t>Scenario Library Development</t>
  </si>
  <si>
    <t>Optimization Study</t>
  </si>
  <si>
    <t>Engineering Workflow Integration</t>
  </si>
  <si>
    <t>Playbook Drafting</t>
  </si>
  <si>
    <t>Projects</t>
  </si>
  <si>
    <t>Project Portfolio Gantt Chart</t>
  </si>
  <si>
    <t>Monthly view • 2025-01 to 2026-12</t>
  </si>
  <si>
    <t>Legend</t>
  </si>
  <si>
    <t>Assumption-based projects: SimTwin Platform, Mixing Digital Twin, Patents for Software and AIoRT</t>
  </si>
  <si>
    <t>2025</t>
  </si>
  <si>
    <t>2026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</si>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</sst>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"/>
    <numFmt numFmtId="165" formatCode="mmm"/>
    <numFmt numFmtId="166" formatCode=";;;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2"/>
      <color theme="10"/>
      <name val="Calibri"/>
      <family val="2"/>
      <scheme val="minor"/>
    </font>
    <font>
      <b/>
      <sz val="11"/>
      <name val="Calibri"/>
      <family val="2"/>
    </font>
    <font>
      <b/>
      <sz val="16"/>
      <color rgb="FF1F2937"/>
      <name val="Calibri"/>
      <family val="2"/>
    </font>
    <font>
      <sz val="11"/>
      <color rgb="FF4B5563"/>
      <name val="Calibri"/>
      <family val="2"/>
    </font>
    <font>
      <i/>
      <sz val="11"/>
      <color rgb="FF4B5563"/>
      <name val="Calibri"/>
      <family val="2"/>
    </font>
    <font>
      <b/>
      <sz val="11"/>
      <color rgb="FF1F2937"/>
      <name val="Calibri"/>
      <family val="2"/>
    </font>
    <font>
      <b/>
      <sz val="11"/>
      <color rgb="FF4B5563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1D4ED8"/>
      </patternFill>
    </fill>
    <fill>
      <patternFill patternType="solid">
        <fgColor rgb="FF7C3AED"/>
      </patternFill>
    </fill>
    <fill>
      <patternFill patternType="solid">
        <fgColor rgb="FF059669"/>
      </patternFill>
    </fill>
    <fill>
      <patternFill patternType="solid">
        <fgColor rgb="FFEA580C"/>
      </patternFill>
    </fill>
    <fill>
      <patternFill patternType="solid">
        <fgColor rgb="FFE5E7EB"/>
      </patternFill>
    </fill>
    <fill>
      <patternFill patternType="solid">
        <fgColor rgb="FFFFFBEB"/>
      </patternFill>
    </fill>
  </fills>
  <borders count="5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medium">
        <color rgb="FF9CA3AF"/>
      </left>
      <right/>
      <top/>
      <bottom/>
      <diagonal/>
    </border>
    <border>
      <left style="medium">
        <color rgb="FF9CA3AF"/>
      </left>
      <right style="thin">
        <color rgb="FFD1D5DB"/>
      </right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1" fillId="2" borderId="0" xfId="0" applyFont="1" applyFill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5" fontId="1" fillId="2" borderId="0" xfId="0" applyNumberFormat="1" applyFont="1" applyFill="1" applyAlignment="1">
      <alignment vertical="center"/>
    </xf>
    <xf numFmtId="165" fontId="1" fillId="2" borderId="3" xfId="0" applyNumberFormat="1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center" wrapText="1"/>
    </xf>
    <xf numFmtId="164" fontId="0" fillId="8" borderId="1" xfId="0" applyNumberFormat="1" applyFill="1" applyBorder="1" applyAlignment="1">
      <alignment vertical="center"/>
    </xf>
    <xf numFmtId="166" fontId="0" fillId="0" borderId="2" xfId="0" applyNumberFormat="1" applyBorder="1" applyAlignment="1">
      <alignment vertical="center"/>
    </xf>
    <xf numFmtId="166" fontId="0" fillId="0" borderId="4" xfId="0" applyNumberFormat="1" applyBorder="1" applyAlignment="1">
      <alignment vertical="center"/>
    </xf>
    <xf numFmtId="0" fontId="7" fillId="7" borderId="0" xfId="0" applyFont="1" applyFill="1" applyAlignment="1">
      <alignment vertical="center"/>
    </xf>
    <xf numFmtId="0" fontId="0" fillId="0" borderId="0" xfId="0" applyAlignment="1">
      <alignment vertical="center"/>
    </xf>
  </cellXfs>
  <cellStyles count="2">
    <cellStyle name="Hyperlink" xfId="1" xr:uid="{00000000-0005-0000-0000-000001000000}"/>
    <cellStyle name="Normal" xfId="0" builtinId="0"/>
  </cellStyles>
  <dxfs count="4">
    <dxf>
      <fill>
        <patternFill>
          <bgColor rgb="FFEA580C"/>
        </patternFill>
      </fill>
    </dxf>
    <dxf>
      <fill>
        <patternFill>
          <bgColor rgb="FF059669"/>
        </patternFill>
      </fill>
    </dxf>
    <dxf>
      <fill>
        <patternFill>
          <bgColor rgb="FF7C3AED"/>
        </patternFill>
      </fill>
    </dxf>
    <dxf>
      <fill>
        <patternFill>
          <bgColor rgb="FF1D4E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177800</xdr:colOff>
      <xdr:row>12</xdr:row>
      <xdr:rowOff>177800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3CB55FBB-FFB6-BD9C-ACC4-12FA055E0B6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8"/>
  <sheetViews>
    <sheetView showGridLines="0" tabSelected="1" workbookViewId="0">
      <selection activeCell="A19" activeCellId="3" sqref="A32:XFD42 R31:XFD31 A31:P31 A19:XFD30"/>
    </sheetView>
  </sheetViews>
  <sheetFormatPr baseColWidth="10" defaultColWidth="8.83203125" defaultRowHeight="15" x14ac:dyDescent="0.2"/>
  <cols>
    <col min="1" max="1" width="28" customWidth="1"/>
    <col min="2" max="2" width="10" customWidth="1"/>
    <col min="3" max="3" width="34" customWidth="1"/>
    <col min="4" max="5" width="12" customWidth="1"/>
    <col min="6" max="6" width="10" customWidth="1"/>
    <col min="7" max="30" width="4.1640625" customWidth="1"/>
  </cols>
  <sheetData>
    <row r="1" spans="1:30" ht="21" x14ac:dyDescent="0.2">
      <c r="A1" s="6" t="s">
        <v>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x14ac:dyDescent="0.2">
      <c r="A2" s="9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x14ac:dyDescent="0.2">
      <c r="A3" s="8" t="s">
        <v>26</v>
      </c>
      <c r="B3" s="10" t="s">
        <v>5</v>
      </c>
      <c r="C3" s="11" t="s">
        <v>7</v>
      </c>
      <c r="D3" s="12" t="s">
        <v>11</v>
      </c>
      <c r="E3" s="13" t="s">
        <v>13</v>
      </c>
      <c r="F3" s="7"/>
      <c r="G3" s="14" t="s">
        <v>27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x14ac:dyDescent="0.2">
      <c r="A4" s="15" t="s">
        <v>23</v>
      </c>
      <c r="B4" s="7"/>
      <c r="C4" s="7"/>
      <c r="D4" s="7"/>
      <c r="E4" s="7"/>
      <c r="F4" s="7"/>
      <c r="G4" s="23" t="s">
        <v>28</v>
      </c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3" t="s">
        <v>29</v>
      </c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</row>
    <row r="5" spans="1:30" ht="24" customHeight="1" x14ac:dyDescent="0.2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30</v>
      </c>
      <c r="G5" s="16">
        <v>45658</v>
      </c>
      <c r="H5" s="16">
        <v>45689</v>
      </c>
      <c r="I5" s="16">
        <v>45717</v>
      </c>
      <c r="J5" s="16">
        <v>45748</v>
      </c>
      <c r="K5" s="16">
        <v>45778</v>
      </c>
      <c r="L5" s="16">
        <v>45809</v>
      </c>
      <c r="M5" s="16">
        <v>45839</v>
      </c>
      <c r="N5" s="16">
        <v>45870</v>
      </c>
      <c r="O5" s="16">
        <v>45901</v>
      </c>
      <c r="P5" s="16">
        <v>45931</v>
      </c>
      <c r="Q5" s="16">
        <v>45962</v>
      </c>
      <c r="R5" s="16">
        <v>45992</v>
      </c>
      <c r="S5" s="17">
        <v>46023</v>
      </c>
      <c r="T5" s="16">
        <v>46054</v>
      </c>
      <c r="U5" s="16">
        <v>46082</v>
      </c>
      <c r="V5" s="16">
        <v>46113</v>
      </c>
      <c r="W5" s="16">
        <v>46143</v>
      </c>
      <c r="X5" s="16">
        <v>46174</v>
      </c>
      <c r="Y5" s="16">
        <v>46204</v>
      </c>
      <c r="Z5" s="16">
        <v>46235</v>
      </c>
      <c r="AA5" s="16">
        <v>46266</v>
      </c>
      <c r="AB5" s="16">
        <v>46296</v>
      </c>
      <c r="AC5" s="16">
        <v>46327</v>
      </c>
      <c r="AD5" s="16">
        <v>46357</v>
      </c>
    </row>
    <row r="6" spans="1:30" ht="16" x14ac:dyDescent="0.2">
      <c r="A6" s="18" t="s">
        <v>16</v>
      </c>
      <c r="B6" s="5" t="s">
        <v>5</v>
      </c>
      <c r="C6" s="19" t="s">
        <v>6</v>
      </c>
      <c r="D6" s="20">
        <v>45839</v>
      </c>
      <c r="E6" s="20">
        <v>45839</v>
      </c>
      <c r="F6" s="18">
        <f t="shared" ref="F6:F18" si="0">E6-D6+1</f>
        <v>1</v>
      </c>
      <c r="G6" s="21" t="str">
        <f t="shared" ref="G6:P6" si="1">IF(AND(G$5&lt;=$E6,DATE(YEAR(G$5),MONTH(G$5)+1,0)&gt;=$D6),1,"")</f>
        <v/>
      </c>
      <c r="H6" s="21" t="str">
        <f t="shared" si="1"/>
        <v/>
      </c>
      <c r="I6" s="21" t="str">
        <f t="shared" si="1"/>
        <v/>
      </c>
      <c r="J6" s="21" t="str">
        <f t="shared" si="1"/>
        <v/>
      </c>
      <c r="K6" s="21" t="str">
        <f t="shared" si="1"/>
        <v/>
      </c>
      <c r="L6" s="21" t="str">
        <f t="shared" si="1"/>
        <v/>
      </c>
      <c r="M6" s="21">
        <f t="shared" si="1"/>
        <v>1</v>
      </c>
      <c r="N6" s="21" t="str">
        <f t="shared" si="1"/>
        <v/>
      </c>
      <c r="O6" s="21" t="str">
        <f t="shared" si="1"/>
        <v/>
      </c>
      <c r="P6" s="21" t="str">
        <f t="shared" si="1"/>
        <v/>
      </c>
      <c r="Q6" s="21" t="str">
        <f t="shared" ref="Q6:AD6" si="2">IF(AND(Q$5&lt;=$E6,DATE(YEAR(Q$5),MONTH(Q$5)+1,0)&gt;=$D6),1,"")</f>
        <v/>
      </c>
      <c r="R6" s="21" t="str">
        <f t="shared" si="2"/>
        <v/>
      </c>
      <c r="S6" s="22" t="str">
        <f t="shared" si="2"/>
        <v/>
      </c>
      <c r="T6" s="21" t="str">
        <f t="shared" si="2"/>
        <v/>
      </c>
      <c r="U6" s="21" t="str">
        <f t="shared" si="2"/>
        <v/>
      </c>
      <c r="V6" s="21" t="str">
        <f t="shared" si="2"/>
        <v/>
      </c>
      <c r="W6" s="21" t="str">
        <f t="shared" si="2"/>
        <v/>
      </c>
      <c r="X6" s="21" t="str">
        <f t="shared" si="2"/>
        <v/>
      </c>
      <c r="Y6" s="21" t="str">
        <f t="shared" si="2"/>
        <v/>
      </c>
      <c r="Z6" s="21" t="str">
        <f t="shared" si="2"/>
        <v/>
      </c>
      <c r="AA6" s="21" t="str">
        <f t="shared" si="2"/>
        <v/>
      </c>
      <c r="AB6" s="21" t="str">
        <f t="shared" si="2"/>
        <v/>
      </c>
      <c r="AC6" s="21" t="str">
        <f t="shared" si="2"/>
        <v/>
      </c>
      <c r="AD6" s="21" t="str">
        <f t="shared" si="2"/>
        <v/>
      </c>
    </row>
    <row r="7" spans="1:30" ht="16" x14ac:dyDescent="0.2">
      <c r="A7" s="18" t="s">
        <v>16</v>
      </c>
      <c r="B7" s="2" t="s">
        <v>7</v>
      </c>
      <c r="C7" s="19" t="s">
        <v>8</v>
      </c>
      <c r="D7" s="20">
        <v>45839</v>
      </c>
      <c r="E7" s="20">
        <v>45869</v>
      </c>
      <c r="F7" s="18">
        <f t="shared" si="0"/>
        <v>31</v>
      </c>
      <c r="G7" s="21" t="str">
        <f t="shared" ref="G7:P16" si="3">IF(AND(G$5&lt;=$E7,DATE(YEAR(G$5),MONTH(G$5)+1,0)&gt;=$D7),1,"")</f>
        <v/>
      </c>
      <c r="H7" s="21" t="str">
        <f t="shared" si="3"/>
        <v/>
      </c>
      <c r="I7" s="21" t="str">
        <f t="shared" si="3"/>
        <v/>
      </c>
      <c r="J7" s="21" t="str">
        <f t="shared" si="3"/>
        <v/>
      </c>
      <c r="K7" s="21" t="str">
        <f t="shared" si="3"/>
        <v/>
      </c>
      <c r="L7" s="21" t="str">
        <f t="shared" si="3"/>
        <v/>
      </c>
      <c r="M7" s="21">
        <f t="shared" si="3"/>
        <v>1</v>
      </c>
      <c r="N7" s="21" t="str">
        <f t="shared" si="3"/>
        <v/>
      </c>
      <c r="O7" s="21" t="str">
        <f t="shared" si="3"/>
        <v/>
      </c>
      <c r="P7" s="21" t="str">
        <f t="shared" si="3"/>
        <v/>
      </c>
      <c r="Q7" s="21" t="str">
        <f t="shared" ref="Q7:AD16" si="4">IF(AND(Q$5&lt;=$E7,DATE(YEAR(Q$5),MONTH(Q$5)+1,0)&gt;=$D7),1,"")</f>
        <v/>
      </c>
      <c r="R7" s="21" t="str">
        <f t="shared" si="4"/>
        <v/>
      </c>
      <c r="S7" s="22" t="str">
        <f t="shared" si="4"/>
        <v/>
      </c>
      <c r="T7" s="21" t="str">
        <f t="shared" si="4"/>
        <v/>
      </c>
      <c r="U7" s="21" t="str">
        <f t="shared" si="4"/>
        <v/>
      </c>
      <c r="V7" s="21" t="str">
        <f t="shared" si="4"/>
        <v/>
      </c>
      <c r="W7" s="21" t="str">
        <f t="shared" si="4"/>
        <v/>
      </c>
      <c r="X7" s="21" t="str">
        <f t="shared" si="4"/>
        <v/>
      </c>
      <c r="Y7" s="21" t="str">
        <f t="shared" si="4"/>
        <v/>
      </c>
      <c r="Z7" s="21" t="str">
        <f t="shared" si="4"/>
        <v/>
      </c>
      <c r="AA7" s="21" t="str">
        <f t="shared" si="4"/>
        <v/>
      </c>
      <c r="AB7" s="21" t="str">
        <f t="shared" si="4"/>
        <v/>
      </c>
      <c r="AC7" s="21" t="str">
        <f t="shared" si="4"/>
        <v/>
      </c>
      <c r="AD7" s="21" t="str">
        <f t="shared" si="4"/>
        <v/>
      </c>
    </row>
    <row r="8" spans="1:30" ht="16" x14ac:dyDescent="0.2">
      <c r="A8" s="18" t="s">
        <v>16</v>
      </c>
      <c r="B8" s="2" t="s">
        <v>7</v>
      </c>
      <c r="C8" s="19" t="s">
        <v>9</v>
      </c>
      <c r="D8" s="20">
        <v>45870</v>
      </c>
      <c r="E8" s="20">
        <v>45900</v>
      </c>
      <c r="F8" s="18">
        <f t="shared" si="0"/>
        <v>31</v>
      </c>
      <c r="G8" s="21" t="str">
        <f t="shared" si="3"/>
        <v/>
      </c>
      <c r="H8" s="21" t="str">
        <f t="shared" si="3"/>
        <v/>
      </c>
      <c r="I8" s="21" t="str">
        <f t="shared" si="3"/>
        <v/>
      </c>
      <c r="J8" s="21" t="str">
        <f t="shared" si="3"/>
        <v/>
      </c>
      <c r="K8" s="21" t="str">
        <f t="shared" si="3"/>
        <v/>
      </c>
      <c r="L8" s="21" t="str">
        <f t="shared" si="3"/>
        <v/>
      </c>
      <c r="M8" s="21" t="str">
        <f t="shared" si="3"/>
        <v/>
      </c>
      <c r="N8" s="21">
        <f t="shared" si="3"/>
        <v>1</v>
      </c>
      <c r="O8" s="21" t="str">
        <f t="shared" si="3"/>
        <v/>
      </c>
      <c r="P8" s="21" t="str">
        <f t="shared" si="3"/>
        <v/>
      </c>
      <c r="Q8" s="21" t="str">
        <f t="shared" si="4"/>
        <v/>
      </c>
      <c r="R8" s="21" t="str">
        <f t="shared" si="4"/>
        <v/>
      </c>
      <c r="S8" s="22" t="str">
        <f t="shared" si="4"/>
        <v/>
      </c>
      <c r="T8" s="21" t="str">
        <f t="shared" si="4"/>
        <v/>
      </c>
      <c r="U8" s="21" t="str">
        <f t="shared" si="4"/>
        <v/>
      </c>
      <c r="V8" s="21" t="str">
        <f t="shared" si="4"/>
        <v/>
      </c>
      <c r="W8" s="21" t="str">
        <f t="shared" si="4"/>
        <v/>
      </c>
      <c r="X8" s="21" t="str">
        <f t="shared" si="4"/>
        <v/>
      </c>
      <c r="Y8" s="21" t="str">
        <f t="shared" si="4"/>
        <v/>
      </c>
      <c r="Z8" s="21" t="str">
        <f t="shared" si="4"/>
        <v/>
      </c>
      <c r="AA8" s="21" t="str">
        <f t="shared" si="4"/>
        <v/>
      </c>
      <c r="AB8" s="21" t="str">
        <f t="shared" si="4"/>
        <v/>
      </c>
      <c r="AC8" s="21" t="str">
        <f t="shared" si="4"/>
        <v/>
      </c>
      <c r="AD8" s="21" t="str">
        <f t="shared" si="4"/>
        <v/>
      </c>
    </row>
    <row r="9" spans="1:30" ht="16" x14ac:dyDescent="0.2">
      <c r="A9" s="18" t="s">
        <v>16</v>
      </c>
      <c r="B9" s="2" t="s">
        <v>7</v>
      </c>
      <c r="C9" s="19" t="s">
        <v>10</v>
      </c>
      <c r="D9" s="20">
        <v>45901</v>
      </c>
      <c r="E9" s="20">
        <v>45930</v>
      </c>
      <c r="F9" s="18">
        <f t="shared" si="0"/>
        <v>30</v>
      </c>
      <c r="G9" s="21" t="str">
        <f t="shared" si="3"/>
        <v/>
      </c>
      <c r="H9" s="21" t="str">
        <f t="shared" si="3"/>
        <v/>
      </c>
      <c r="I9" s="21" t="str">
        <f t="shared" si="3"/>
        <v/>
      </c>
      <c r="J9" s="21" t="str">
        <f t="shared" si="3"/>
        <v/>
      </c>
      <c r="K9" s="21" t="str">
        <f t="shared" si="3"/>
        <v/>
      </c>
      <c r="L9" s="21" t="str">
        <f t="shared" si="3"/>
        <v/>
      </c>
      <c r="M9" s="21" t="str">
        <f t="shared" si="3"/>
        <v/>
      </c>
      <c r="N9" s="21" t="str">
        <f t="shared" si="3"/>
        <v/>
      </c>
      <c r="O9" s="21">
        <f t="shared" si="3"/>
        <v>1</v>
      </c>
      <c r="P9" s="21" t="str">
        <f t="shared" si="3"/>
        <v/>
      </c>
      <c r="Q9" s="21" t="str">
        <f t="shared" si="4"/>
        <v/>
      </c>
      <c r="R9" s="21" t="str">
        <f t="shared" si="4"/>
        <v/>
      </c>
      <c r="S9" s="22" t="str">
        <f t="shared" si="4"/>
        <v/>
      </c>
      <c r="T9" s="21" t="str">
        <f t="shared" si="4"/>
        <v/>
      </c>
      <c r="U9" s="21" t="str">
        <f t="shared" si="4"/>
        <v/>
      </c>
      <c r="V9" s="21" t="str">
        <f t="shared" si="4"/>
        <v/>
      </c>
      <c r="W9" s="21" t="str">
        <f t="shared" si="4"/>
        <v/>
      </c>
      <c r="X9" s="21" t="str">
        <f t="shared" si="4"/>
        <v/>
      </c>
      <c r="Y9" s="21" t="str">
        <f t="shared" si="4"/>
        <v/>
      </c>
      <c r="Z9" s="21" t="str">
        <f t="shared" si="4"/>
        <v/>
      </c>
      <c r="AA9" s="21" t="str">
        <f t="shared" si="4"/>
        <v/>
      </c>
      <c r="AB9" s="21" t="str">
        <f t="shared" si="4"/>
        <v/>
      </c>
      <c r="AC9" s="21" t="str">
        <f t="shared" si="4"/>
        <v/>
      </c>
      <c r="AD9" s="21" t="str">
        <f t="shared" si="4"/>
        <v/>
      </c>
    </row>
    <row r="10" spans="1:30" ht="16" x14ac:dyDescent="0.2">
      <c r="A10" s="18" t="s">
        <v>16</v>
      </c>
      <c r="B10" s="3" t="s">
        <v>11</v>
      </c>
      <c r="C10" s="19" t="s">
        <v>17</v>
      </c>
      <c r="D10" s="20">
        <v>45931</v>
      </c>
      <c r="E10" s="20">
        <v>45991</v>
      </c>
      <c r="F10" s="18">
        <f t="shared" si="0"/>
        <v>61</v>
      </c>
      <c r="G10" s="21" t="str">
        <f t="shared" si="3"/>
        <v/>
      </c>
      <c r="H10" s="21" t="str">
        <f t="shared" si="3"/>
        <v/>
      </c>
      <c r="I10" s="21" t="str">
        <f t="shared" si="3"/>
        <v/>
      </c>
      <c r="J10" s="21" t="str">
        <f t="shared" si="3"/>
        <v/>
      </c>
      <c r="K10" s="21" t="str">
        <f t="shared" si="3"/>
        <v/>
      </c>
      <c r="L10" s="21" t="str">
        <f t="shared" si="3"/>
        <v/>
      </c>
      <c r="M10" s="21" t="str">
        <f t="shared" si="3"/>
        <v/>
      </c>
      <c r="N10" s="21" t="str">
        <f t="shared" si="3"/>
        <v/>
      </c>
      <c r="O10" s="21" t="str">
        <f t="shared" si="3"/>
        <v/>
      </c>
      <c r="P10" s="21">
        <f t="shared" si="3"/>
        <v>1</v>
      </c>
      <c r="Q10" s="21">
        <f t="shared" si="4"/>
        <v>1</v>
      </c>
      <c r="R10" s="21" t="str">
        <f t="shared" si="4"/>
        <v/>
      </c>
      <c r="S10" s="22" t="str">
        <f t="shared" si="4"/>
        <v/>
      </c>
      <c r="T10" s="21" t="str">
        <f t="shared" si="4"/>
        <v/>
      </c>
      <c r="U10" s="21" t="str">
        <f t="shared" si="4"/>
        <v/>
      </c>
      <c r="V10" s="21" t="str">
        <f t="shared" si="4"/>
        <v/>
      </c>
      <c r="W10" s="21" t="str">
        <f t="shared" si="4"/>
        <v/>
      </c>
      <c r="X10" s="21" t="str">
        <f t="shared" si="4"/>
        <v/>
      </c>
      <c r="Y10" s="21" t="str">
        <f t="shared" si="4"/>
        <v/>
      </c>
      <c r="Z10" s="21" t="str">
        <f t="shared" si="4"/>
        <v/>
      </c>
      <c r="AA10" s="21" t="str">
        <f t="shared" si="4"/>
        <v/>
      </c>
      <c r="AB10" s="21" t="str">
        <f t="shared" si="4"/>
        <v/>
      </c>
      <c r="AC10" s="21" t="str">
        <f t="shared" si="4"/>
        <v/>
      </c>
      <c r="AD10" s="21" t="str">
        <f t="shared" si="4"/>
        <v/>
      </c>
    </row>
    <row r="11" spans="1:30" ht="16" x14ac:dyDescent="0.2">
      <c r="A11" s="18" t="s">
        <v>16</v>
      </c>
      <c r="B11" s="3" t="s">
        <v>11</v>
      </c>
      <c r="C11" s="19" t="s">
        <v>18</v>
      </c>
      <c r="D11" s="20">
        <v>45992</v>
      </c>
      <c r="E11" s="20">
        <v>46053</v>
      </c>
      <c r="F11" s="18">
        <f t="shared" si="0"/>
        <v>62</v>
      </c>
      <c r="G11" s="21" t="str">
        <f t="shared" si="3"/>
        <v/>
      </c>
      <c r="H11" s="21" t="str">
        <f t="shared" si="3"/>
        <v/>
      </c>
      <c r="I11" s="21" t="str">
        <f t="shared" si="3"/>
        <v/>
      </c>
      <c r="J11" s="21" t="str">
        <f t="shared" si="3"/>
        <v/>
      </c>
      <c r="K11" s="21" t="str">
        <f t="shared" si="3"/>
        <v/>
      </c>
      <c r="L11" s="21" t="str">
        <f t="shared" si="3"/>
        <v/>
      </c>
      <c r="M11" s="21" t="str">
        <f t="shared" si="3"/>
        <v/>
      </c>
      <c r="N11" s="21" t="str">
        <f t="shared" si="3"/>
        <v/>
      </c>
      <c r="O11" s="21" t="str">
        <f t="shared" si="3"/>
        <v/>
      </c>
      <c r="P11" s="21" t="str">
        <f t="shared" si="3"/>
        <v/>
      </c>
      <c r="Q11" s="21" t="str">
        <f t="shared" si="4"/>
        <v/>
      </c>
      <c r="R11" s="21">
        <f t="shared" si="4"/>
        <v>1</v>
      </c>
      <c r="S11" s="22">
        <f t="shared" si="4"/>
        <v>1</v>
      </c>
      <c r="T11" s="21" t="str">
        <f t="shared" si="4"/>
        <v/>
      </c>
      <c r="U11" s="21" t="str">
        <f t="shared" si="4"/>
        <v/>
      </c>
      <c r="V11" s="21" t="str">
        <f t="shared" si="4"/>
        <v/>
      </c>
      <c r="W11" s="21" t="str">
        <f t="shared" si="4"/>
        <v/>
      </c>
      <c r="X11" s="21" t="str">
        <f t="shared" si="4"/>
        <v/>
      </c>
      <c r="Y11" s="21" t="str">
        <f t="shared" si="4"/>
        <v/>
      </c>
      <c r="Z11" s="21" t="str">
        <f t="shared" si="4"/>
        <v/>
      </c>
      <c r="AA11" s="21" t="str">
        <f t="shared" si="4"/>
        <v/>
      </c>
      <c r="AB11" s="21" t="str">
        <f t="shared" si="4"/>
        <v/>
      </c>
      <c r="AC11" s="21" t="str">
        <f t="shared" si="4"/>
        <v/>
      </c>
      <c r="AD11" s="21" t="str">
        <f t="shared" si="4"/>
        <v/>
      </c>
    </row>
    <row r="12" spans="1:30" ht="16" x14ac:dyDescent="0.2">
      <c r="A12" s="18" t="s">
        <v>16</v>
      </c>
      <c r="B12" s="2" t="s">
        <v>7</v>
      </c>
      <c r="C12" s="19" t="s">
        <v>12</v>
      </c>
      <c r="D12" s="20">
        <v>46054</v>
      </c>
      <c r="E12" s="20">
        <v>46112</v>
      </c>
      <c r="F12" s="18">
        <f t="shared" si="0"/>
        <v>59</v>
      </c>
      <c r="G12" s="21" t="str">
        <f t="shared" si="3"/>
        <v/>
      </c>
      <c r="H12" s="21" t="str">
        <f t="shared" si="3"/>
        <v/>
      </c>
      <c r="I12" s="21" t="str">
        <f t="shared" si="3"/>
        <v/>
      </c>
      <c r="J12" s="21" t="str">
        <f t="shared" si="3"/>
        <v/>
      </c>
      <c r="K12" s="21" t="str">
        <f t="shared" si="3"/>
        <v/>
      </c>
      <c r="L12" s="21" t="str">
        <f t="shared" si="3"/>
        <v/>
      </c>
      <c r="M12" s="21" t="str">
        <f t="shared" si="3"/>
        <v/>
      </c>
      <c r="N12" s="21" t="str">
        <f t="shared" si="3"/>
        <v/>
      </c>
      <c r="O12" s="21" t="str">
        <f t="shared" si="3"/>
        <v/>
      </c>
      <c r="P12" s="21" t="str">
        <f t="shared" si="3"/>
        <v/>
      </c>
      <c r="Q12" s="21" t="str">
        <f t="shared" si="4"/>
        <v/>
      </c>
      <c r="R12" s="21" t="str">
        <f t="shared" si="4"/>
        <v/>
      </c>
      <c r="S12" s="22" t="str">
        <f t="shared" si="4"/>
        <v/>
      </c>
      <c r="T12" s="21">
        <f t="shared" si="4"/>
        <v>1</v>
      </c>
      <c r="U12" s="21">
        <f t="shared" si="4"/>
        <v>1</v>
      </c>
      <c r="V12" s="21" t="str">
        <f t="shared" si="4"/>
        <v/>
      </c>
      <c r="W12" s="21" t="str">
        <f t="shared" si="4"/>
        <v/>
      </c>
      <c r="X12" s="21" t="str">
        <f t="shared" si="4"/>
        <v/>
      </c>
      <c r="Y12" s="21" t="str">
        <f t="shared" si="4"/>
        <v/>
      </c>
      <c r="Z12" s="21" t="str">
        <f t="shared" si="4"/>
        <v/>
      </c>
      <c r="AA12" s="21" t="str">
        <f t="shared" si="4"/>
        <v/>
      </c>
      <c r="AB12" s="21" t="str">
        <f t="shared" si="4"/>
        <v/>
      </c>
      <c r="AC12" s="21" t="str">
        <f t="shared" si="4"/>
        <v/>
      </c>
      <c r="AD12" s="21" t="str">
        <f t="shared" si="4"/>
        <v/>
      </c>
    </row>
    <row r="13" spans="1:30" ht="16" x14ac:dyDescent="0.2">
      <c r="A13" s="18" t="s">
        <v>16</v>
      </c>
      <c r="B13" s="4" t="s">
        <v>13</v>
      </c>
      <c r="C13" s="19" t="s">
        <v>15</v>
      </c>
      <c r="D13" s="20">
        <v>46113</v>
      </c>
      <c r="E13" s="20">
        <v>46142</v>
      </c>
      <c r="F13" s="18">
        <f t="shared" si="0"/>
        <v>30</v>
      </c>
      <c r="G13" s="21" t="str">
        <f t="shared" si="3"/>
        <v/>
      </c>
      <c r="H13" s="21" t="str">
        <f t="shared" si="3"/>
        <v/>
      </c>
      <c r="I13" s="21" t="str">
        <f t="shared" si="3"/>
        <v/>
      </c>
      <c r="J13" s="21" t="str">
        <f t="shared" si="3"/>
        <v/>
      </c>
      <c r="K13" s="21" t="str">
        <f t="shared" si="3"/>
        <v/>
      </c>
      <c r="L13" s="21" t="str">
        <f t="shared" si="3"/>
        <v/>
      </c>
      <c r="M13" s="21" t="str">
        <f t="shared" si="3"/>
        <v/>
      </c>
      <c r="N13" s="21" t="str">
        <f t="shared" si="3"/>
        <v/>
      </c>
      <c r="O13" s="21" t="str">
        <f t="shared" si="3"/>
        <v/>
      </c>
      <c r="P13" s="21" t="str">
        <f t="shared" si="3"/>
        <v/>
      </c>
      <c r="Q13" s="21" t="str">
        <f t="shared" si="4"/>
        <v/>
      </c>
      <c r="R13" s="21" t="str">
        <f t="shared" si="4"/>
        <v/>
      </c>
      <c r="S13" s="22" t="str">
        <f t="shared" si="4"/>
        <v/>
      </c>
      <c r="T13" s="21" t="str">
        <f t="shared" si="4"/>
        <v/>
      </c>
      <c r="U13" s="21" t="str">
        <f t="shared" si="4"/>
        <v/>
      </c>
      <c r="V13" s="21">
        <f t="shared" si="4"/>
        <v>1</v>
      </c>
      <c r="W13" s="21" t="str">
        <f t="shared" si="4"/>
        <v/>
      </c>
      <c r="X13" s="21" t="str">
        <f t="shared" si="4"/>
        <v/>
      </c>
      <c r="Y13" s="21" t="str">
        <f t="shared" si="4"/>
        <v/>
      </c>
      <c r="Z13" s="21" t="str">
        <f t="shared" si="4"/>
        <v/>
      </c>
      <c r="AA13" s="21" t="str">
        <f t="shared" si="4"/>
        <v/>
      </c>
      <c r="AB13" s="21" t="str">
        <f t="shared" si="4"/>
        <v/>
      </c>
      <c r="AC13" s="21" t="str">
        <f t="shared" si="4"/>
        <v/>
      </c>
      <c r="AD13" s="21" t="str">
        <f t="shared" si="4"/>
        <v/>
      </c>
    </row>
    <row r="14" spans="1:30" ht="16" x14ac:dyDescent="0.2">
      <c r="A14" s="18" t="s">
        <v>16</v>
      </c>
      <c r="B14" s="3" t="s">
        <v>11</v>
      </c>
      <c r="C14" s="19" t="s">
        <v>19</v>
      </c>
      <c r="D14" s="20">
        <v>46143</v>
      </c>
      <c r="E14" s="20">
        <v>46203</v>
      </c>
      <c r="F14" s="18">
        <f t="shared" si="0"/>
        <v>61</v>
      </c>
      <c r="G14" s="21" t="str">
        <f t="shared" si="3"/>
        <v/>
      </c>
      <c r="H14" s="21" t="str">
        <f t="shared" si="3"/>
        <v/>
      </c>
      <c r="I14" s="21" t="str">
        <f t="shared" si="3"/>
        <v/>
      </c>
      <c r="J14" s="21" t="str">
        <f t="shared" si="3"/>
        <v/>
      </c>
      <c r="K14" s="21" t="str">
        <f t="shared" si="3"/>
        <v/>
      </c>
      <c r="L14" s="21" t="str">
        <f t="shared" si="3"/>
        <v/>
      </c>
      <c r="M14" s="21" t="str">
        <f t="shared" si="3"/>
        <v/>
      </c>
      <c r="N14" s="21" t="str">
        <f t="shared" si="3"/>
        <v/>
      </c>
      <c r="O14" s="21" t="str">
        <f t="shared" si="3"/>
        <v/>
      </c>
      <c r="P14" s="21" t="str">
        <f t="shared" si="3"/>
        <v/>
      </c>
      <c r="Q14" s="21" t="str">
        <f t="shared" si="4"/>
        <v/>
      </c>
      <c r="R14" s="21" t="str">
        <f t="shared" si="4"/>
        <v/>
      </c>
      <c r="S14" s="22" t="str">
        <f t="shared" si="4"/>
        <v/>
      </c>
      <c r="T14" s="21" t="str">
        <f t="shared" si="4"/>
        <v/>
      </c>
      <c r="U14" s="21" t="str">
        <f t="shared" si="4"/>
        <v/>
      </c>
      <c r="V14" s="21" t="str">
        <f t="shared" si="4"/>
        <v/>
      </c>
      <c r="W14" s="21">
        <f t="shared" si="4"/>
        <v>1</v>
      </c>
      <c r="X14" s="21">
        <f t="shared" si="4"/>
        <v>1</v>
      </c>
      <c r="Y14" s="21" t="str">
        <f t="shared" si="4"/>
        <v/>
      </c>
      <c r="Z14" s="21" t="str">
        <f t="shared" si="4"/>
        <v/>
      </c>
      <c r="AA14" s="21" t="str">
        <f t="shared" si="4"/>
        <v/>
      </c>
      <c r="AB14" s="21" t="str">
        <f t="shared" si="4"/>
        <v/>
      </c>
      <c r="AC14" s="21" t="str">
        <f t="shared" si="4"/>
        <v/>
      </c>
      <c r="AD14" s="21" t="str">
        <f t="shared" si="4"/>
        <v/>
      </c>
    </row>
    <row r="15" spans="1:30" ht="16" x14ac:dyDescent="0.2">
      <c r="A15" s="18" t="s">
        <v>16</v>
      </c>
      <c r="B15" s="3" t="s">
        <v>11</v>
      </c>
      <c r="C15" s="19" t="s">
        <v>20</v>
      </c>
      <c r="D15" s="20">
        <v>46204</v>
      </c>
      <c r="E15" s="20">
        <v>46265</v>
      </c>
      <c r="F15" s="18">
        <f t="shared" si="0"/>
        <v>62</v>
      </c>
      <c r="G15" s="21" t="str">
        <f t="shared" si="3"/>
        <v/>
      </c>
      <c r="H15" s="21" t="str">
        <f t="shared" si="3"/>
        <v/>
      </c>
      <c r="I15" s="21" t="str">
        <f t="shared" si="3"/>
        <v/>
      </c>
      <c r="J15" s="21" t="str">
        <f t="shared" si="3"/>
        <v/>
      </c>
      <c r="K15" s="21" t="str">
        <f t="shared" si="3"/>
        <v/>
      </c>
      <c r="L15" s="21" t="str">
        <f t="shared" si="3"/>
        <v/>
      </c>
      <c r="M15" s="21" t="str">
        <f t="shared" si="3"/>
        <v/>
      </c>
      <c r="N15" s="21" t="str">
        <f t="shared" si="3"/>
        <v/>
      </c>
      <c r="O15" s="21" t="str">
        <f t="shared" si="3"/>
        <v/>
      </c>
      <c r="P15" s="21" t="str">
        <f t="shared" si="3"/>
        <v/>
      </c>
      <c r="Q15" s="21" t="str">
        <f t="shared" si="4"/>
        <v/>
      </c>
      <c r="R15" s="21" t="str">
        <f t="shared" si="4"/>
        <v/>
      </c>
      <c r="S15" s="22" t="str">
        <f t="shared" si="4"/>
        <v/>
      </c>
      <c r="T15" s="21" t="str">
        <f t="shared" si="4"/>
        <v/>
      </c>
      <c r="U15" s="21" t="str">
        <f t="shared" si="4"/>
        <v/>
      </c>
      <c r="V15" s="21" t="str">
        <f t="shared" si="4"/>
        <v/>
      </c>
      <c r="W15" s="21" t="str">
        <f t="shared" si="4"/>
        <v/>
      </c>
      <c r="X15" s="21" t="str">
        <f t="shared" si="4"/>
        <v/>
      </c>
      <c r="Y15" s="21">
        <f t="shared" si="4"/>
        <v>1</v>
      </c>
      <c r="Z15" s="21">
        <f t="shared" si="4"/>
        <v>1</v>
      </c>
      <c r="AA15" s="21" t="str">
        <f t="shared" si="4"/>
        <v/>
      </c>
      <c r="AB15" s="21" t="str">
        <f t="shared" si="4"/>
        <v/>
      </c>
      <c r="AC15" s="21" t="str">
        <f t="shared" si="4"/>
        <v/>
      </c>
      <c r="AD15" s="21" t="str">
        <f t="shared" si="4"/>
        <v/>
      </c>
    </row>
    <row r="16" spans="1:30" ht="16" x14ac:dyDescent="0.2">
      <c r="A16" s="18" t="s">
        <v>16</v>
      </c>
      <c r="B16" s="4" t="s">
        <v>13</v>
      </c>
      <c r="C16" s="19" t="s">
        <v>21</v>
      </c>
      <c r="D16" s="20">
        <v>46266</v>
      </c>
      <c r="E16" s="20">
        <v>46326</v>
      </c>
      <c r="F16" s="18">
        <f t="shared" si="0"/>
        <v>61</v>
      </c>
      <c r="G16" s="21" t="str">
        <f t="shared" si="3"/>
        <v/>
      </c>
      <c r="H16" s="21" t="str">
        <f t="shared" si="3"/>
        <v/>
      </c>
      <c r="I16" s="21" t="str">
        <f t="shared" si="3"/>
        <v/>
      </c>
      <c r="J16" s="21" t="str">
        <f t="shared" si="3"/>
        <v/>
      </c>
      <c r="K16" s="21" t="str">
        <f t="shared" si="3"/>
        <v/>
      </c>
      <c r="L16" s="21" t="str">
        <f t="shared" si="3"/>
        <v/>
      </c>
      <c r="M16" s="21" t="str">
        <f t="shared" si="3"/>
        <v/>
      </c>
      <c r="N16" s="21" t="str">
        <f t="shared" si="3"/>
        <v/>
      </c>
      <c r="O16" s="21" t="str">
        <f t="shared" si="3"/>
        <v/>
      </c>
      <c r="P16" s="21" t="str">
        <f t="shared" si="3"/>
        <v/>
      </c>
      <c r="Q16" s="21" t="str">
        <f t="shared" si="4"/>
        <v/>
      </c>
      <c r="R16" s="21" t="str">
        <f t="shared" si="4"/>
        <v/>
      </c>
      <c r="S16" s="22" t="str">
        <f t="shared" si="4"/>
        <v/>
      </c>
      <c r="T16" s="21" t="str">
        <f t="shared" si="4"/>
        <v/>
      </c>
      <c r="U16" s="21" t="str">
        <f t="shared" si="4"/>
        <v/>
      </c>
      <c r="V16" s="21" t="str">
        <f t="shared" si="4"/>
        <v/>
      </c>
      <c r="W16" s="21" t="str">
        <f t="shared" si="4"/>
        <v/>
      </c>
      <c r="X16" s="21" t="str">
        <f t="shared" si="4"/>
        <v/>
      </c>
      <c r="Y16" s="21" t="str">
        <f t="shared" si="4"/>
        <v/>
      </c>
      <c r="Z16" s="21" t="str">
        <f t="shared" si="4"/>
        <v/>
      </c>
      <c r="AA16" s="21">
        <f t="shared" si="4"/>
        <v>1</v>
      </c>
      <c r="AB16" s="21">
        <f t="shared" si="4"/>
        <v>1</v>
      </c>
      <c r="AC16" s="21" t="str">
        <f t="shared" si="4"/>
        <v/>
      </c>
      <c r="AD16" s="21" t="str">
        <f t="shared" si="4"/>
        <v/>
      </c>
    </row>
    <row r="17" spans="1:30" ht="16" x14ac:dyDescent="0.2">
      <c r="A17" s="18" t="s">
        <v>16</v>
      </c>
      <c r="B17" s="5" t="s">
        <v>5</v>
      </c>
      <c r="C17" s="19" t="s">
        <v>22</v>
      </c>
      <c r="D17" s="20">
        <v>46327</v>
      </c>
      <c r="E17" s="20">
        <v>46356</v>
      </c>
      <c r="F17" s="18">
        <f t="shared" si="0"/>
        <v>30</v>
      </c>
      <c r="G17" s="21" t="str">
        <f t="shared" ref="G17:P18" si="5">IF(AND(G$5&lt;=$E17,DATE(YEAR(G$5),MONTH(G$5)+1,0)&gt;=$D17),1,"")</f>
        <v/>
      </c>
      <c r="H17" s="21" t="str">
        <f t="shared" si="5"/>
        <v/>
      </c>
      <c r="I17" s="21" t="str">
        <f t="shared" si="5"/>
        <v/>
      </c>
      <c r="J17" s="21" t="str">
        <f t="shared" si="5"/>
        <v/>
      </c>
      <c r="K17" s="21" t="str">
        <f t="shared" si="5"/>
        <v/>
      </c>
      <c r="L17" s="21" t="str">
        <f t="shared" si="5"/>
        <v/>
      </c>
      <c r="M17" s="21" t="str">
        <f t="shared" si="5"/>
        <v/>
      </c>
      <c r="N17" s="21" t="str">
        <f t="shared" si="5"/>
        <v/>
      </c>
      <c r="O17" s="21" t="str">
        <f t="shared" si="5"/>
        <v/>
      </c>
      <c r="P17" s="21" t="str">
        <f t="shared" si="5"/>
        <v/>
      </c>
      <c r="Q17" s="21" t="str">
        <f t="shared" ref="Q17:AD18" si="6">IF(AND(Q$5&lt;=$E17,DATE(YEAR(Q$5),MONTH(Q$5)+1,0)&gt;=$D17),1,"")</f>
        <v/>
      </c>
      <c r="R17" s="21" t="str">
        <f t="shared" si="6"/>
        <v/>
      </c>
      <c r="S17" s="22" t="str">
        <f t="shared" si="6"/>
        <v/>
      </c>
      <c r="T17" s="21" t="str">
        <f t="shared" si="6"/>
        <v/>
      </c>
      <c r="U17" s="21" t="str">
        <f t="shared" si="6"/>
        <v/>
      </c>
      <c r="V17" s="21" t="str">
        <f t="shared" si="6"/>
        <v/>
      </c>
      <c r="W17" s="21" t="str">
        <f t="shared" si="6"/>
        <v/>
      </c>
      <c r="X17" s="21" t="str">
        <f t="shared" si="6"/>
        <v/>
      </c>
      <c r="Y17" s="21" t="str">
        <f t="shared" si="6"/>
        <v/>
      </c>
      <c r="Z17" s="21" t="str">
        <f t="shared" si="6"/>
        <v/>
      </c>
      <c r="AA17" s="21" t="str">
        <f t="shared" si="6"/>
        <v/>
      </c>
      <c r="AB17" s="21" t="str">
        <f t="shared" si="6"/>
        <v/>
      </c>
      <c r="AC17" s="21">
        <f t="shared" si="6"/>
        <v>1</v>
      </c>
      <c r="AD17" s="21" t="str">
        <f t="shared" si="6"/>
        <v/>
      </c>
    </row>
    <row r="18" spans="1:30" ht="16" x14ac:dyDescent="0.2">
      <c r="A18" s="18" t="s">
        <v>16</v>
      </c>
      <c r="B18" s="5" t="s">
        <v>5</v>
      </c>
      <c r="C18" s="19" t="s">
        <v>14</v>
      </c>
      <c r="D18" s="20">
        <v>46357</v>
      </c>
      <c r="E18" s="20">
        <v>46387</v>
      </c>
      <c r="F18" s="18">
        <f t="shared" si="0"/>
        <v>31</v>
      </c>
      <c r="G18" s="21" t="str">
        <f t="shared" si="5"/>
        <v/>
      </c>
      <c r="H18" s="21" t="str">
        <f t="shared" si="5"/>
        <v/>
      </c>
      <c r="I18" s="21" t="str">
        <f t="shared" si="5"/>
        <v/>
      </c>
      <c r="J18" s="21" t="str">
        <f t="shared" si="5"/>
        <v/>
      </c>
      <c r="K18" s="21" t="str">
        <f t="shared" si="5"/>
        <v/>
      </c>
      <c r="L18" s="21" t="str">
        <f t="shared" si="5"/>
        <v/>
      </c>
      <c r="M18" s="21" t="str">
        <f t="shared" si="5"/>
        <v/>
      </c>
      <c r="N18" s="21" t="str">
        <f t="shared" si="5"/>
        <v/>
      </c>
      <c r="O18" s="21" t="str">
        <f t="shared" si="5"/>
        <v/>
      </c>
      <c r="P18" s="21" t="str">
        <f t="shared" si="5"/>
        <v/>
      </c>
      <c r="Q18" s="21" t="str">
        <f t="shared" si="6"/>
        <v/>
      </c>
      <c r="R18" s="21" t="str">
        <f t="shared" si="6"/>
        <v/>
      </c>
      <c r="S18" s="22" t="str">
        <f t="shared" si="6"/>
        <v/>
      </c>
      <c r="T18" s="21" t="str">
        <f t="shared" si="6"/>
        <v/>
      </c>
      <c r="U18" s="21" t="str">
        <f t="shared" si="6"/>
        <v/>
      </c>
      <c r="V18" s="21" t="str">
        <f t="shared" si="6"/>
        <v/>
      </c>
      <c r="W18" s="21" t="str">
        <f t="shared" si="6"/>
        <v/>
      </c>
      <c r="X18" s="21" t="str">
        <f t="shared" si="6"/>
        <v/>
      </c>
      <c r="Y18" s="21" t="str">
        <f t="shared" si="6"/>
        <v/>
      </c>
      <c r="Z18" s="21" t="str">
        <f t="shared" si="6"/>
        <v/>
      </c>
      <c r="AA18" s="21" t="str">
        <f t="shared" si="6"/>
        <v/>
      </c>
      <c r="AB18" s="21" t="str">
        <f t="shared" si="6"/>
        <v/>
      </c>
      <c r="AC18" s="21" t="str">
        <f t="shared" si="6"/>
        <v/>
      </c>
      <c r="AD18" s="21">
        <f t="shared" si="6"/>
        <v>1</v>
      </c>
    </row>
  </sheetData>
  <mergeCells count="2">
    <mergeCell ref="G4:R4"/>
    <mergeCell ref="S4:AD4"/>
  </mergeCells>
  <conditionalFormatting sqref="G6:AD18">
    <cfRule type="expression" dxfId="3" priority="1">
      <formula>AND(G6=1,$B6="[PM]")</formula>
    </cfRule>
    <cfRule type="expression" dxfId="2" priority="2">
      <formula>AND(G6=1,$B6="[FS]")</formula>
    </cfRule>
    <cfRule type="expression" dxfId="1" priority="3">
      <formula>AND(G6=1,$B6="[ENG]")</formula>
    </cfRule>
    <cfRule type="expression" dxfId="0" priority="4">
      <formula>AND(G6=1,$B6="[POST]")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TAMARIA HASTISYA ARTPINKKAN 201904560014</cp:lastModifiedBy>
  <dcterms:created xsi:type="dcterms:W3CDTF">2026-04-14T11:36:13Z</dcterms:created>
  <dcterms:modified xsi:type="dcterms:W3CDTF">2026-04-14T11:44:38Z</dcterms:modified>
</cp:coreProperties>
</file>